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/>
  <mc:AlternateContent xmlns:mc="http://schemas.openxmlformats.org/markup-compatibility/2006">
    <mc:Choice Requires="x15">
      <x15ac:absPath xmlns:x15ac="http://schemas.microsoft.com/office/spreadsheetml/2010/11/ac" url="C:\datos\OneDrive - Camara de Comercio de Bucaramanga\Documents\2026 - COWORKING LABS - CWL\Facturación y orden recaudo CWL26\Facturación mensual ANTICIPADA CWL25\"/>
    </mc:Choice>
  </mc:AlternateContent>
  <xr:revisionPtr revIDLastSave="0" documentId="8_{827E7BFB-D197-485F-96FC-5EF081625A3A}" xr6:coauthVersionLast="47" xr6:coauthVersionMax="47" xr10:uidLastSave="{00000000-0000-0000-0000-000000000000}"/>
  <bookViews>
    <workbookView xWindow="0" yWindow="0" windowWidth="2150" windowHeight="0" xr2:uid="{00000000-000D-0000-FFFF-FFFF00000000}"/>
  </bookViews>
  <sheets>
    <sheet name="OrdRecaudo" sheetId="4" r:id="rId1"/>
    <sheet name="Tarifas - CWL25" sheetId="5" r:id="rId2"/>
    <sheet name="Centros Costo" sheetId="2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4" l="1"/>
  <c r="L11" i="4" s="1"/>
  <c r="L10" i="4"/>
  <c r="M10" i="4"/>
  <c r="N10" i="4" s="1"/>
  <c r="L9" i="4"/>
  <c r="L8" i="4"/>
  <c r="L13" i="4"/>
  <c r="L12" i="4"/>
  <c r="L7" i="4"/>
  <c r="L5" i="4"/>
  <c r="L3" i="4"/>
  <c r="L4" i="4"/>
  <c r="M4" i="4" s="1"/>
  <c r="L6" i="4" l="1"/>
  <c r="M6" i="4" l="1"/>
  <c r="M13" i="4" l="1"/>
  <c r="N13" i="4" s="1"/>
  <c r="M8" i="4" l="1"/>
  <c r="N8" i="4" s="1"/>
  <c r="M12" i="4" l="1"/>
  <c r="N12" i="4" s="1"/>
  <c r="M7" i="4" l="1"/>
  <c r="N7" i="4" s="1"/>
  <c r="N11" i="4" l="1"/>
  <c r="M9" i="4"/>
  <c r="N9" i="4" s="1"/>
  <c r="N6" i="4"/>
  <c r="M5" i="4"/>
  <c r="N5" i="4" s="1"/>
  <c r="N4" i="4"/>
  <c r="M3" i="4"/>
  <c r="N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Caceres Vargas</author>
  </authors>
  <commentList>
    <comment ref="O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Monica Caceres Vargas:</t>
        </r>
        <r>
          <rPr>
            <sz val="9"/>
            <color indexed="81"/>
            <rFont val="Tahoma"/>
            <family val="2"/>
          </rPr>
          <t xml:space="preserve">
Fecha límite de pago</t>
        </r>
      </text>
    </comment>
    <comment ref="I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Monica Caceres Vargas:</t>
        </r>
        <r>
          <rPr>
            <sz val="9"/>
            <color indexed="81"/>
            <rFont val="Tahoma"/>
            <family val="2"/>
          </rPr>
          <t xml:space="preserve">
Se tramita nuevo número contrato con el mismo centro de costo.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Caceres Vargas</author>
  </authors>
  <commentList>
    <comment ref="F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Coworking Labs:</t>
        </r>
        <r>
          <rPr>
            <sz val="9"/>
            <color indexed="81"/>
            <rFont val="Tahoma"/>
            <family val="2"/>
          </rPr>
          <t xml:space="preserve">
Contratos con vigencia y renovación mensual
</t>
        </r>
      </text>
    </comment>
  </commentList>
</comments>
</file>

<file path=xl/sharedStrings.xml><?xml version="1.0" encoding="utf-8"?>
<sst xmlns="http://schemas.openxmlformats.org/spreadsheetml/2006/main" count="205" uniqueCount="147">
  <si>
    <t>SOLICITUD ORDMARS DE RECAUDO - CWL 2026</t>
  </si>
  <si>
    <t>#</t>
  </si>
  <si>
    <t>PRODUCTO</t>
  </si>
  <si>
    <t>ID VENDEDOR</t>
  </si>
  <si>
    <t>PROMOTOR</t>
  </si>
  <si>
    <t>CLIENTE</t>
  </si>
  <si>
    <t>ID CLIENTE</t>
  </si>
  <si>
    <t>CECO</t>
  </si>
  <si>
    <t>CORREO FACTURACIÓN</t>
  </si>
  <si>
    <t>OBSERVACIÓN</t>
  </si>
  <si>
    <t>MES A FACTURAR</t>
  </si>
  <si>
    <t>DÍAS DE CONCESIÓN</t>
  </si>
  <si>
    <t>VALOR DÍA (Sin IVA)</t>
  </si>
  <si>
    <t>V.SUBTOTAL (Sin IVA)</t>
  </si>
  <si>
    <t>VALOR TOTAL (IVA incluido)</t>
  </si>
  <si>
    <t>FECHA 1 LÍMITE pago</t>
  </si>
  <si>
    <t>DIRECCIÓN</t>
  </si>
  <si>
    <t>¿ES AFILIADO?</t>
  </si>
  <si>
    <t>1</t>
  </si>
  <si>
    <t>VENDEDOR GENERAL</t>
  </si>
  <si>
    <t>INSMART TECHNOLOGY SAS</t>
  </si>
  <si>
    <t>W0414-23</t>
  </si>
  <si>
    <t>insmartc@gmail.com</t>
  </si>
  <si>
    <t>Pago DEL SERVICIO PROG. COWORKING LABS: UN (1) ESPACIO DE TRABAJO (TIPO B) CECO:W0414-23 [MES ABR]. 
Remitir comprobante de pago a: coordinador.coworking@camaradirecta.com y tesoreria.ccb@camaradirecta.com. Genere su pago exacto sin redondear valores.</t>
  </si>
  <si>
    <t>ABR</t>
  </si>
  <si>
    <t>30</t>
  </si>
  <si>
    <t xml:space="preserve">CL 48 28 40 P 2    </t>
  </si>
  <si>
    <t>NO</t>
  </si>
  <si>
    <t>2</t>
  </si>
  <si>
    <t>SWEETCARE SAS</t>
  </si>
  <si>
    <t>901581424 </t>
  </si>
  <si>
    <t>W0414-24</t>
  </si>
  <si>
    <t>contactenos@sweetcare.com.co</t>
  </si>
  <si>
    <t>Pago DEL SERVICIO PROG. COWORKING LABS: UN (1) ESPACIO DE TRABAJO (TIPO A) CECO:W0414-24 [MES ABR]. 
Remitir comprobante de pago a: coordinador.coworking@camaradirecta.com y tesoreria.ccb@camaradirecta.com. Genere su pago exacto sin redondear valores.</t>
  </si>
  <si>
    <t xml:space="preserve">CL 48 28 40 P 2 BRR SOTO MAYOR    </t>
  </si>
  <si>
    <t>SI</t>
  </si>
  <si>
    <t>3</t>
  </si>
  <si>
    <t>SOLENIUM SAS</t>
  </si>
  <si>
    <t>W0414-25</t>
  </si>
  <si>
    <t>facturación@solenium.co</t>
  </si>
  <si>
    <t>Pago DEL SERVICIO PROG. COWORKING LABS: CUATRO (4) ESPACIOS DE TRABAJO (TIPO A) CECO:W0414-25 [MES ABR]. 
Remitir comprobante de pago a: coordinador.coworking@camaradirecta.com y tesoreria.ccb@camaradirecta.com. Genere su pago exacto sin redondear valores.</t>
  </si>
  <si>
    <t xml:space="preserve">CL 46 70 A 79    </t>
  </si>
  <si>
    <t>4</t>
  </si>
  <si>
    <t>BFREE ACTIVE TRAVEL SAS</t>
  </si>
  <si>
    <t>W0414-36</t>
  </si>
  <si>
    <t>bfreeactive@gmail.com</t>
  </si>
  <si>
    <t>Pago DEL SERVICIO PROG. COWORKING LABS: UN (1) ESPACIO DE TRABAJO (TIPO A) CECO:W0414-36 [MES ABR]. 
Remitir comprobante de pago a: coordinador.coworking@camaradirecta.com y tesoreria.ccb@camaradirecta.com. Genere su pago exacto sin redondear valores.</t>
  </si>
  <si>
    <t xml:space="preserve">AVENIDA BUCAROS CONSEPTO MARCELLA REAL TORRE 5 APARTAMENTO 403    </t>
  </si>
  <si>
    <t>5</t>
  </si>
  <si>
    <t>INDICACION Y DESARROLLO COLOMBIA IDCO SAS</t>
  </si>
  <si>
    <t>W0414-30</t>
  </si>
  <si>
    <t>contabilidad@idco.com.co</t>
  </si>
  <si>
    <t>Pago DEL SERVICIO PROG. COWORKING LABS: UN (1) ESPACIO DE TRABAJO (TIPO D) CECO:W0414-30 [MES ABR]. 
Remitir comprobante de pago a: coordinador.coworking@camaradirecta.com y tesoreria.ccb@camaradirecta.com. Genere su pago exacto sin redondear valores.</t>
  </si>
  <si>
    <t xml:space="preserve">CL 55 28 25 OF 403    </t>
  </si>
  <si>
    <t>6</t>
  </si>
  <si>
    <t>PROSPECTIVE ING SAS</t>
  </si>
  <si>
    <t>W0414-31</t>
  </si>
  <si>
    <t>infoprospectiveing@gmail.com</t>
  </si>
  <si>
    <t>Pago DEL SERVICIO PROG. COWORKING LABS: UN (1) ESPACIO DE TRABAJO (TIPO B) CECO:W0414-31 [MES ABR]. 
Remitir comprobante de pago a: coordinador.coworking@camaradirecta.com y tesoreria.ccb@camaradirecta.com. Genere su pago exacto sin redondear valores.</t>
  </si>
  <si>
    <t>CL 48 28 40 ED INDICA   </t>
  </si>
  <si>
    <t>7</t>
  </si>
  <si>
    <t>ESTANDAR &amp; EXCELENCIA SAS BIC</t>
  </si>
  <si>
    <t>W0414-32</t>
  </si>
  <si>
    <t>gerenciaeyesas@gmail.com</t>
  </si>
  <si>
    <t>Pago DEL SERVICIO PROG. COWORKING LABS: UN (1) ESPACIO DE TRABAJO (TIPO B) CECO:W0414-32 [MES ABR]. 
Remitir comprobante de pago a: coordinador.coworking@camaradirecta.com y tesoreria.ccb@camaradirecta.com. Genere su pago exacto sin redondear valores.</t>
  </si>
  <si>
    <t xml:space="preserve">CALLE 18 #25-48    </t>
  </si>
  <si>
    <t>8</t>
  </si>
  <si>
    <t>ENG FORMACION &amp; CONSULTORIA SAS</t>
  </si>
  <si>
    <t>W0414-33</t>
  </si>
  <si>
    <t>gerencia@deelicitaciones.com</t>
  </si>
  <si>
    <t>Pago DEL SERVICIO PROG. COWORKING LABS: UN (1) ESPACIO DE TRABAJO (TIPO A) CECO:W0414-33 [MES ABR]. 
Remitir comprobante de pago a: coordinador.coworking@camaradirecta.com y tesoreria.ccb@camaradirecta.com. Genere su pago exacto sin redondear valores.</t>
  </si>
  <si>
    <t>CARRERA 3 #60-80 CASA B4 CONJUNTO VILLAS DE SANTA SOFIA BARRIO LOS NARANJOS</t>
  </si>
  <si>
    <t>9</t>
  </si>
  <si>
    <t>GROUND LIGHTNING SAS</t>
  </si>
  <si>
    <t>W0414-34</t>
  </si>
  <si>
    <t>contabilidad@glground.co</t>
  </si>
  <si>
    <t>Pago DEL SERVICIO PROG. COWORKING LABS: UN (1) ESPACIO DE TRABAJO (TIPO A) CECO:W0414-34 [MES ABR]. 
Remitir comprobante de pago a: coordinador.coworking@camaradirecta.com y tesoreria.ccb@camaradirecta.com. Genere su pago exacto sin redondear valores.</t>
  </si>
  <si>
    <t>CR 21 55 39 P2 ED MARIA JESUS   </t>
  </si>
  <si>
    <t>11</t>
  </si>
  <si>
    <t>FUNDACIÓN ISABERRY</t>
  </si>
  <si>
    <t>W0414-42</t>
  </si>
  <si>
    <t>BUSINESSKIDSBGA@GMAIL.COM</t>
  </si>
  <si>
    <t>Pago DEL SERVICIO PROG. COWORKING LABS: UN (1) ESPACIO DE TRABAJO (TIPO A) CECO:W0414-42 [MES ABR]. 
Remitir comprobante de pago a: coordinador.coworking@camaradirecta.com y tesoreria.ccb@camaradirecta.com. Genere su pago exacto sin redondear valores.</t>
  </si>
  <si>
    <t xml:space="preserve">CALLE 48 #28-40 BARRIO SOTOMAYOR    </t>
  </si>
  <si>
    <t>12</t>
  </si>
  <si>
    <t>TI&amp;CON</t>
  </si>
  <si>
    <t>W0414-43</t>
  </si>
  <si>
    <t>financiera@ticon.com.co</t>
  </si>
  <si>
    <t>Pago DEL SERVICIO PROG. COWORKING LABS: UN (1) ESPACIO DE TRABAJO (TIPO A) CECO:W0414-43 [MES ABR]. 
Remitir comprobante de pago a: coordinador.coworking@camaradirecta.com y tesoreria.ccb@camaradirecta.com. Genere su pago exacto sin redondear valores.</t>
  </si>
  <si>
    <t>AV GONZALEZ VALENCIA 55 67 BRR ANTIGUO CAMPESTRE_x000D_</t>
  </si>
  <si>
    <t>AÑO 2025 CWL</t>
  </si>
  <si>
    <t>TARIFAS 2025 - COWORKING LABS</t>
  </si>
  <si>
    <t>TIPO DE ESPACIO</t>
  </si>
  <si>
    <t>TARIFA VERDE                          (Dcto CCB 50%)</t>
  </si>
  <si>
    <t>TARIFA AMARILLA           (Dcto CCB 25%)</t>
  </si>
  <si>
    <t>TARIFA BASE                           2026</t>
  </si>
  <si>
    <r>
      <t>A:</t>
    </r>
    <r>
      <rPr>
        <b/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2"/>
        <scheme val="minor"/>
      </rPr>
      <t>Espacio móvil en zona común</t>
    </r>
  </si>
  <si>
    <r>
      <t xml:space="preserve">B: </t>
    </r>
    <r>
      <rPr>
        <sz val="11"/>
        <color rgb="FF000000"/>
        <rFont val="Calibri"/>
        <family val="2"/>
        <scheme val="minor"/>
      </rPr>
      <t>Espacio fijo en cubículo</t>
    </r>
  </si>
  <si>
    <r>
      <t>C:</t>
    </r>
    <r>
      <rPr>
        <sz val="11"/>
        <color rgb="FF000000"/>
        <rFont val="Calibri"/>
        <family val="2"/>
        <scheme val="minor"/>
      </rPr>
      <t xml:space="preserve"> Espacio fijo oficina privada x6</t>
    </r>
  </si>
  <si>
    <r>
      <t xml:space="preserve">D: </t>
    </r>
    <r>
      <rPr>
        <sz val="11"/>
        <color rgb="FF000000"/>
        <rFont val="Calibri"/>
        <family val="2"/>
        <scheme val="minor"/>
      </rPr>
      <t>Espacio fijo oficina privada x7</t>
    </r>
  </si>
  <si>
    <r>
      <rPr>
        <b/>
        <sz val="11"/>
        <color rgb="FF000000"/>
        <rFont val="Calibri"/>
        <family val="2"/>
      </rPr>
      <t>NOTA:</t>
    </r>
    <r>
      <rPr>
        <sz val="11"/>
        <color rgb="FF000000"/>
        <rFont val="Calibri"/>
        <family val="2"/>
      </rPr>
      <t xml:space="preserve"> Valores mensules IVA incluido (19%).</t>
    </r>
  </si>
  <si>
    <t>TARIFA VERDE                                  (Dcto CCB 50%):</t>
  </si>
  <si>
    <t xml:space="preserve"> Valor con descuento aplicado por la Cámara de Comercio de Bucaramanga del 50% sobre la tarifa base del año en vigencia. Aplica para el el primer año de vinculación. (12 meses)</t>
  </si>
  <si>
    <t>TARIFA AMARILLA                         (Dcto CCB 25%):</t>
  </si>
  <si>
    <t xml:space="preserve"> Valor con descuento aplicado por la Cámara de Comercio de Bucaramanga del 25% sobre la tarifa base del año en vigencia. Aplica para el el segundo año de vinculación. (12 meses)</t>
  </si>
  <si>
    <t>TARIFA BASE                                     2025:</t>
  </si>
  <si>
    <t>Valor pleno de la tarifa con el aumento aplicado de la variación anual IPC (5,20%) sobre la tarifa base del año anterior. Aplica para el tercer año de vinculación. (12 meses)</t>
  </si>
  <si>
    <t>CENTROS DE COSTOS COWORKING LABS 2025</t>
  </si>
  <si>
    <t>NOMBRE SEGÚN RUT</t>
  </si>
  <si>
    <t>NIT</t>
  </si>
  <si>
    <t>CENTROS DE COSTO</t>
  </si>
  <si>
    <t>NRO. CONTRATO</t>
  </si>
  <si>
    <t>FECHA INICIO CONTRATO</t>
  </si>
  <si>
    <t>23</t>
  </si>
  <si>
    <t>24</t>
  </si>
  <si>
    <t>25</t>
  </si>
  <si>
    <t>GRUPO VIVEX SAS</t>
  </si>
  <si>
    <t>W0414-26</t>
  </si>
  <si>
    <t>NATHALIA CRISTINA VARGAS BETHENCOURT (PN)</t>
  </si>
  <si>
    <t>W0414-13</t>
  </si>
  <si>
    <t>16 (2024)</t>
  </si>
  <si>
    <t>N/A</t>
  </si>
  <si>
    <t>SOLUCIONES AMBIENTALES 4R SAS</t>
  </si>
  <si>
    <t>W0414-27</t>
  </si>
  <si>
    <t>26</t>
  </si>
  <si>
    <t>BIOFLY SAS BIC</t>
  </si>
  <si>
    <t>W0414-28</t>
  </si>
  <si>
    <t>27</t>
  </si>
  <si>
    <t>CORPORACION URBAN PARTICIPATION STAR UP</t>
  </si>
  <si>
    <t>W0414-15</t>
  </si>
  <si>
    <t>9 (2024)</t>
  </si>
  <si>
    <t>TOTEM BEAR SAS</t>
  </si>
  <si>
    <t>W0414-17</t>
  </si>
  <si>
    <t>15 (2024)</t>
  </si>
  <si>
    <t>12 (2024)</t>
  </si>
  <si>
    <t>MULTIPRÉSTAMOS COLOMBIA SAS</t>
  </si>
  <si>
    <t>W0414-29</t>
  </si>
  <si>
    <t>31</t>
  </si>
  <si>
    <t>FI INGENIERÍA SAS</t>
  </si>
  <si>
    <t>W0414-18</t>
  </si>
  <si>
    <t>21 (2024)</t>
  </si>
  <si>
    <t>INNOVACION Y DESARROLLO COLOMBIA IDCO SAS</t>
  </si>
  <si>
    <t>32</t>
  </si>
  <si>
    <t>28</t>
  </si>
  <si>
    <t>29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</si>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</sst>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;[Red]\-&quot;$&quot;\ #,##0"/>
    <numFmt numFmtId="165" formatCode="_-&quot;$&quot;\ * #,##0_-;\-&quot;$&quot;\ * #,##0_-;_-&quot;$&quot;\ * &quot;-&quot;??_-;_-@_-"/>
  </numFmts>
  <fonts count="3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3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</font>
    <font>
      <b/>
      <sz val="18"/>
      <color rgb="FFC00000"/>
      <name val="Calibri"/>
      <family val="2"/>
      <scheme val="minor"/>
    </font>
    <font>
      <b/>
      <sz val="12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theme="0"/>
      <name val="Calibri"/>
      <family val="2"/>
    </font>
    <font>
      <sz val="10"/>
      <color theme="1"/>
      <name val="Calibri"/>
      <family val="2"/>
    </font>
    <font>
      <sz val="11"/>
      <name val="Arial"/>
      <family val="2"/>
    </font>
    <font>
      <sz val="11"/>
      <color theme="3" tint="-0.499984740745262"/>
      <name val="Arial"/>
      <family val="2"/>
    </font>
    <font>
      <b/>
      <u/>
      <sz val="14"/>
      <color rgb="FF000000"/>
      <name val="Arial"/>
      <family val="2"/>
    </font>
    <font>
      <b/>
      <u/>
      <sz val="14"/>
      <color theme="1"/>
      <name val="Arial"/>
      <family val="2"/>
    </font>
    <font>
      <b/>
      <sz val="11"/>
      <name val="Arial"/>
      <family val="2"/>
    </font>
    <font>
      <b/>
      <sz val="11"/>
      <color theme="3" tint="-0.499984740745262"/>
      <name val="Arial"/>
      <family val="2"/>
    </font>
    <font>
      <b/>
      <u/>
      <sz val="14"/>
      <color theme="3" tint="-0.499984740745262"/>
      <name val="Arial"/>
      <family val="2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rgb="FF002060"/>
      </patternFill>
    </fill>
    <fill>
      <patternFill patternType="solid">
        <fgColor rgb="FFB3ED74"/>
        <bgColor rgb="FFB3ED74"/>
      </patternFill>
    </fill>
    <fill>
      <patternFill patternType="solid">
        <fgColor rgb="FF92D050"/>
        <bgColor rgb="FF92D050"/>
      </patternFill>
    </fill>
    <fill>
      <patternFill patternType="solid">
        <fgColor rgb="FFF5F516"/>
        <bgColor rgb="FFF5F516"/>
      </patternFill>
    </fill>
    <fill>
      <patternFill patternType="solid">
        <fgColor rgb="FFF2F2F2"/>
        <bgColor rgb="FFF2F2F2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2F2F2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rgb="FFFFFFFF"/>
      </right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7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/>
    <xf numFmtId="0" fontId="7" fillId="4" borderId="4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/>
    <xf numFmtId="49" fontId="10" fillId="0" borderId="1" xfId="0" quotePrefix="1" applyNumberFormat="1" applyFont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49" fontId="8" fillId="0" borderId="1" xfId="0" applyNumberFormat="1" applyFont="1" applyBorder="1" applyAlignment="1">
      <alignment horizontal="center" vertical="center"/>
    </xf>
    <xf numFmtId="49" fontId="0" fillId="0" borderId="1" xfId="0" applyNumberFormat="1" applyBorder="1"/>
    <xf numFmtId="49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49" fontId="15" fillId="0" borderId="1" xfId="0" quotePrefix="1" applyNumberFormat="1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/>
    </xf>
    <xf numFmtId="15" fontId="8" fillId="0" borderId="6" xfId="0" applyNumberFormat="1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0" fillId="0" borderId="6" xfId="0" applyBorder="1"/>
    <xf numFmtId="0" fontId="8" fillId="0" borderId="2" xfId="0" applyFont="1" applyBorder="1" applyAlignment="1">
      <alignment horizontal="center" vertical="center"/>
    </xf>
    <xf numFmtId="0" fontId="0" fillId="0" borderId="2" xfId="0" applyBorder="1"/>
    <xf numFmtId="49" fontId="0" fillId="0" borderId="2" xfId="0" applyNumberFormat="1" applyBorder="1"/>
    <xf numFmtId="0" fontId="0" fillId="0" borderId="7" xfId="0" applyBorder="1"/>
    <xf numFmtId="1" fontId="4" fillId="0" borderId="1" xfId="0" applyNumberFormat="1" applyFont="1" applyBorder="1" applyAlignment="1">
      <alignment horizontal="center" vertical="center" wrapText="1"/>
    </xf>
    <xf numFmtId="0" fontId="16" fillId="0" borderId="0" xfId="0" applyFont="1"/>
    <xf numFmtId="10" fontId="20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18" fillId="8" borderId="9" xfId="0" applyFont="1" applyFill="1" applyBorder="1" applyAlignment="1">
      <alignment horizontal="center" vertical="center" wrapText="1"/>
    </xf>
    <xf numFmtId="165" fontId="24" fillId="0" borderId="1" xfId="0" applyNumberFormat="1" applyFont="1" applyBorder="1" applyAlignment="1">
      <alignment horizontal="center" vertical="center" wrapText="1"/>
    </xf>
    <xf numFmtId="165" fontId="25" fillId="0" borderId="0" xfId="0" applyNumberFormat="1" applyFont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49" fontId="26" fillId="10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/>
    <xf numFmtId="49" fontId="27" fillId="9" borderId="1" xfId="0" applyNumberFormat="1" applyFont="1" applyFill="1" applyBorder="1" applyAlignment="1">
      <alignment horizontal="center" vertical="center" wrapText="1"/>
    </xf>
    <xf numFmtId="49" fontId="27" fillId="10" borderId="1" xfId="0" applyNumberFormat="1" applyFont="1" applyFill="1" applyBorder="1" applyAlignment="1">
      <alignment horizontal="center" vertical="center" wrapText="1"/>
    </xf>
    <xf numFmtId="165" fontId="28" fillId="10" borderId="1" xfId="0" applyNumberFormat="1" applyFont="1" applyFill="1" applyBorder="1" applyAlignment="1">
      <alignment horizontal="center" vertical="center" wrapText="1"/>
    </xf>
    <xf numFmtId="49" fontId="23" fillId="0" borderId="0" xfId="0" applyNumberFormat="1" applyFont="1" applyAlignment="1">
      <alignment horizontal="center" vertical="center" wrapText="1"/>
    </xf>
    <xf numFmtId="49" fontId="22" fillId="0" borderId="0" xfId="0" applyNumberFormat="1" applyFont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1" fillId="0" borderId="1" xfId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29" fillId="3" borderId="10" xfId="0" applyFont="1" applyFill="1" applyBorder="1" applyAlignment="1">
      <alignment horizontal="center" vertical="center" wrapText="1"/>
    </xf>
    <xf numFmtId="0" fontId="30" fillId="5" borderId="10" xfId="0" applyFont="1" applyFill="1" applyBorder="1" applyAlignment="1">
      <alignment horizontal="center" vertical="center" wrapText="1"/>
    </xf>
    <xf numFmtId="0" fontId="30" fillId="6" borderId="0" xfId="0" applyFont="1" applyFill="1" applyAlignment="1">
      <alignment horizontal="center" vertical="center" wrapText="1"/>
    </xf>
    <xf numFmtId="0" fontId="31" fillId="0" borderId="11" xfId="0" applyFont="1" applyBorder="1" applyAlignment="1">
      <alignment horizontal="left" vertical="center" wrapText="1"/>
    </xf>
    <xf numFmtId="164" fontId="5" fillId="0" borderId="11" xfId="0" applyNumberFormat="1" applyFont="1" applyBorder="1" applyAlignment="1">
      <alignment horizontal="center" vertical="center" wrapText="1"/>
    </xf>
    <xf numFmtId="164" fontId="5" fillId="0" borderId="11" xfId="0" applyNumberFormat="1" applyFont="1" applyBorder="1" applyAlignment="1">
      <alignment horizontal="center"/>
    </xf>
    <xf numFmtId="0" fontId="31" fillId="11" borderId="11" xfId="0" applyFont="1" applyFill="1" applyBorder="1" applyAlignment="1">
      <alignment horizontal="left" vertical="center" wrapText="1"/>
    </xf>
    <xf numFmtId="164" fontId="5" fillId="11" borderId="11" xfId="0" applyNumberFormat="1" applyFont="1" applyFill="1" applyBorder="1" applyAlignment="1">
      <alignment horizontal="center"/>
    </xf>
    <xf numFmtId="0" fontId="13" fillId="8" borderId="0" xfId="0" applyFont="1" applyFill="1" applyAlignment="1">
      <alignment horizontal="center" vertical="center"/>
    </xf>
    <xf numFmtId="0" fontId="17" fillId="3" borderId="8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21" fillId="7" borderId="9" xfId="0" applyFont="1" applyFill="1" applyBorder="1" applyAlignment="1">
      <alignment vertical="center" wrapText="1"/>
    </xf>
    <xf numFmtId="0" fontId="21" fillId="0" borderId="9" xfId="0" applyFont="1" applyBorder="1" applyAlignment="1">
      <alignment vertical="center" wrapText="1"/>
    </xf>
    <xf numFmtId="0" fontId="6" fillId="3" borderId="5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0" fillId="0" borderId="0" xfId="0" applyFont="1" applyAlignment="1"/>
  </cellXfs>
  <cellStyles count="3">
    <cellStyle name="Hyperlink" xfId="1" builtinId="8"/>
    <cellStyle name="Normal" xfId="0" builtinId="0"/>
    <cellStyle name="Normal 2" xfId="2" xr:uid="{00000000-0005-0000-0000-000002000000}"/>
  </cellStyles>
  <dxfs count="8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B3ED74"/>
          <bgColor rgb="FFB3ED74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81643</xdr:colOff>
      <xdr:row>0</xdr:row>
      <xdr:rowOff>0</xdr:rowOff>
    </xdr:from>
    <xdr:to>
      <xdr:col>3</xdr:col>
      <xdr:colOff>654807</xdr:colOff>
      <xdr:row>1</xdr:row>
      <xdr:rowOff>72432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643" y="0"/>
          <a:ext cx="2686807" cy="52600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2:F27" totalsRowShown="0" headerRowDxfId="7" tableBorderDxfId="6">
  <autoFilter ref="A2:F27" xr:uid="{00000000-0009-0000-0100-000001000000}"/>
  <tableColumns count="6">
    <tableColumn id="1" xr3:uid="{00000000-0010-0000-0000-000001000000}" name="#" dataDxfId="5"/>
    <tableColumn id="2" xr3:uid="{00000000-0010-0000-0000-000002000000}" name="NOMBRE SEGÚN RUT" dataDxfId="4"/>
    <tableColumn id="3" xr3:uid="{00000000-0010-0000-0000-000003000000}" name="NIT" dataDxfId="3"/>
    <tableColumn id="4" xr3:uid="{00000000-0010-0000-0000-000004000000}" name="CENTROS DE COSTO" dataDxfId="2"/>
    <tableColumn id="5" xr3:uid="{00000000-0010-0000-0000-000005000000}" name="NRO. CONTRATO" dataDxfId="1"/>
    <tableColumn id="6" xr3:uid="{00000000-0010-0000-0000-000006000000}" name="FECHA INICIO CONTRATO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erencia@deelicitaciones.com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mailto:facturaci&#243;n@solenium.co" TargetMode="External"/><Relationship Id="rId7" Type="http://schemas.openxmlformats.org/officeDocument/2006/relationships/hyperlink" Target="mailto:contactenos@sweetcare.com.co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insmartc@gmail.com" TargetMode="External"/><Relationship Id="rId1" Type="http://schemas.openxmlformats.org/officeDocument/2006/relationships/hyperlink" Target="mailto:contabilidad@glground.co" TargetMode="External"/><Relationship Id="rId6" Type="http://schemas.openxmlformats.org/officeDocument/2006/relationships/hyperlink" Target="mailto:gerenciaeyesas@gmail.com" TargetMode="External"/><Relationship Id="rId11" Type="http://schemas.openxmlformats.org/officeDocument/2006/relationships/hyperlink" Target="mailto:financiera@ticon.com.co" TargetMode="External"/><Relationship Id="rId5" Type="http://schemas.openxmlformats.org/officeDocument/2006/relationships/hyperlink" Target="mailto:contabilidad@idco.com.co" TargetMode="External"/><Relationship Id="rId15" Type="http://schemas.openxmlformats.org/officeDocument/2006/relationships/comments" Target="../comments1.xml"/><Relationship Id="rId10" Type="http://schemas.openxmlformats.org/officeDocument/2006/relationships/hyperlink" Target="mailto:infoprospectiveing@gmail.com" TargetMode="External"/><Relationship Id="rId4" Type="http://schemas.openxmlformats.org/officeDocument/2006/relationships/hyperlink" Target="mailto:bfreeactive@gmail.com" TargetMode="External"/><Relationship Id="rId9" Type="http://schemas.openxmlformats.org/officeDocument/2006/relationships/hyperlink" Target="mailto:BUSINESSKIDSBGA@GMAIL.COM" TargetMode="External"/><Relationship Id="rId1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showGridLines="0" tabSelected="1" view="pageBreakPreview" zoomScale="80" zoomScaleNormal="80" zoomScaleSheetLayoutView="80" workbookViewId="0">
      <pane ySplit="2" topLeftCell="A3" activePane="bottomLeft" state="frozen"/>
      <selection pane="bottomLeft" activeCell="I3" sqref="I3"/>
    </sheetView>
  </sheetViews>
  <sheetFormatPr defaultColWidth="44.140625" defaultRowHeight="18"/>
  <cols>
    <col min="1" max="1" width="5.140625" style="48" customWidth="1"/>
    <col min="2" max="2" width="12.42578125" style="48" customWidth="1"/>
    <col min="3" max="3" width="12.7109375" style="48" customWidth="1"/>
    <col min="4" max="4" width="14.85546875" style="48" customWidth="1"/>
    <col min="5" max="5" width="29.7109375" style="48" bestFit="1" customWidth="1"/>
    <col min="6" max="6" width="11.85546875" style="48" bestFit="1" customWidth="1"/>
    <col min="7" max="7" width="13.140625" style="48" bestFit="1" customWidth="1"/>
    <col min="8" max="8" width="31.140625" style="54" bestFit="1" customWidth="1"/>
    <col min="9" max="9" width="60.140625" style="48" customWidth="1"/>
    <col min="10" max="10" width="12.42578125" style="48" bestFit="1" customWidth="1"/>
    <col min="11" max="11" width="21.7109375" style="48" bestFit="1" customWidth="1"/>
    <col min="12" max="12" width="21.42578125" style="48" bestFit="1" customWidth="1"/>
    <col min="13" max="13" width="23.7109375" style="48" bestFit="1" customWidth="1"/>
    <col min="14" max="14" width="20.42578125" style="44" bestFit="1" customWidth="1"/>
    <col min="15" max="15" width="15.140625" style="48" customWidth="1"/>
    <col min="16" max="16" width="37.85546875" style="48" customWidth="1"/>
    <col min="17" max="17" width="12.42578125" style="48" customWidth="1"/>
    <col min="18" max="16384" width="44.140625" style="48"/>
  </cols>
  <sheetData>
    <row r="1" spans="1:17" s="49" customFormat="1" ht="36" customHeight="1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</row>
    <row r="2" spans="1:17" s="53" customFormat="1" ht="36">
      <c r="A2" s="50" t="s">
        <v>1</v>
      </c>
      <c r="B2" s="50" t="s">
        <v>2</v>
      </c>
      <c r="C2" s="51" t="s">
        <v>3</v>
      </c>
      <c r="D2" s="51" t="s">
        <v>4</v>
      </c>
      <c r="E2" s="51" t="s">
        <v>5</v>
      </c>
      <c r="F2" s="51" t="s">
        <v>6</v>
      </c>
      <c r="G2" s="51" t="s">
        <v>7</v>
      </c>
      <c r="H2" s="46" t="s">
        <v>8</v>
      </c>
      <c r="I2" s="51" t="s">
        <v>9</v>
      </c>
      <c r="J2" s="51" t="s">
        <v>10</v>
      </c>
      <c r="K2" s="51" t="s">
        <v>11</v>
      </c>
      <c r="L2" s="51" t="s">
        <v>12</v>
      </c>
      <c r="M2" s="51" t="s">
        <v>13</v>
      </c>
      <c r="N2" s="52" t="s">
        <v>14</v>
      </c>
      <c r="O2" s="51" t="s">
        <v>15</v>
      </c>
      <c r="P2" s="51" t="s">
        <v>16</v>
      </c>
      <c r="Q2" s="51" t="s">
        <v>17</v>
      </c>
    </row>
    <row r="3" spans="1:17" ht="84">
      <c r="A3" s="4" t="s">
        <v>18</v>
      </c>
      <c r="B3" s="47">
        <v>11036</v>
      </c>
      <c r="C3" s="36">
        <v>2</v>
      </c>
      <c r="D3" s="2" t="s">
        <v>19</v>
      </c>
      <c r="E3" s="1" t="s">
        <v>20</v>
      </c>
      <c r="F3" s="1">
        <v>901703496</v>
      </c>
      <c r="G3" s="1" t="s">
        <v>21</v>
      </c>
      <c r="H3" s="55" t="s">
        <v>22</v>
      </c>
      <c r="I3" s="5" t="s">
        <v>23</v>
      </c>
      <c r="J3" s="5" t="s">
        <v>24</v>
      </c>
      <c r="K3" s="56" t="s">
        <v>25</v>
      </c>
      <c r="L3" s="45">
        <f>('Tarifas - CWL25'!$E$8/1.19)/30</f>
        <v>24094.061624649861</v>
      </c>
      <c r="M3" s="45">
        <f>L3*K3</f>
        <v>722821.84873949585</v>
      </c>
      <c r="N3" s="43">
        <f>M3*1.19</f>
        <v>860158</v>
      </c>
      <c r="O3" s="3">
        <v>46112</v>
      </c>
      <c r="P3" s="23" t="s">
        <v>26</v>
      </c>
      <c r="Q3" s="1" t="s">
        <v>27</v>
      </c>
    </row>
    <row r="4" spans="1:17" ht="84">
      <c r="A4" s="4" t="s">
        <v>28</v>
      </c>
      <c r="B4" s="47">
        <v>11036</v>
      </c>
      <c r="C4" s="36">
        <v>2</v>
      </c>
      <c r="D4" s="2" t="s">
        <v>19</v>
      </c>
      <c r="E4" s="1" t="s">
        <v>29</v>
      </c>
      <c r="F4" s="1" t="s">
        <v>30</v>
      </c>
      <c r="G4" s="1" t="s">
        <v>31</v>
      </c>
      <c r="H4" s="55" t="s">
        <v>32</v>
      </c>
      <c r="I4" s="5" t="s">
        <v>33</v>
      </c>
      <c r="J4" s="5" t="s">
        <v>24</v>
      </c>
      <c r="K4" s="56" t="s">
        <v>25</v>
      </c>
      <c r="L4" s="45">
        <f>('Tarifas - CWL25'!$E$7/1.19)/30</f>
        <v>14054.873949579833</v>
      </c>
      <c r="M4" s="45">
        <f>L4*K4</f>
        <v>421646.21848739497</v>
      </c>
      <c r="N4" s="43">
        <f>M4*1.19</f>
        <v>501759</v>
      </c>
      <c r="O4" s="3">
        <v>46112</v>
      </c>
      <c r="P4" s="23" t="s">
        <v>34</v>
      </c>
      <c r="Q4" s="1" t="s">
        <v>35</v>
      </c>
    </row>
    <row r="5" spans="1:17" ht="98.1">
      <c r="A5" s="4" t="s">
        <v>36</v>
      </c>
      <c r="B5" s="47">
        <v>11036</v>
      </c>
      <c r="C5" s="36">
        <v>2</v>
      </c>
      <c r="D5" s="2" t="s">
        <v>19</v>
      </c>
      <c r="E5" s="1" t="s">
        <v>37</v>
      </c>
      <c r="F5" s="1">
        <v>901097244</v>
      </c>
      <c r="G5" s="1" t="s">
        <v>38</v>
      </c>
      <c r="H5" s="55" t="s">
        <v>39</v>
      </c>
      <c r="I5" s="5" t="s">
        <v>40</v>
      </c>
      <c r="J5" s="5" t="s">
        <v>24</v>
      </c>
      <c r="K5" s="56" t="s">
        <v>25</v>
      </c>
      <c r="L5" s="45">
        <f>('Tarifas - CWL25'!$E$7/1.19*4)/30</f>
        <v>56219.495798319331</v>
      </c>
      <c r="M5" s="45">
        <f t="shared" ref="M5:M9" si="0">L5*K5</f>
        <v>1686584.8739495799</v>
      </c>
      <c r="N5" s="43">
        <f t="shared" ref="N5:N6" si="1">M5*1.19</f>
        <v>2007036</v>
      </c>
      <c r="O5" s="3">
        <v>46112</v>
      </c>
      <c r="P5" s="23" t="s">
        <v>41</v>
      </c>
      <c r="Q5" s="1" t="s">
        <v>27</v>
      </c>
    </row>
    <row r="6" spans="1:17" ht="84">
      <c r="A6" s="4" t="s">
        <v>42</v>
      </c>
      <c r="B6" s="47">
        <v>11036</v>
      </c>
      <c r="C6" s="36">
        <v>2</v>
      </c>
      <c r="D6" s="2" t="s">
        <v>19</v>
      </c>
      <c r="E6" s="1" t="s">
        <v>43</v>
      </c>
      <c r="F6" s="1">
        <v>901815791</v>
      </c>
      <c r="G6" s="1" t="s">
        <v>44</v>
      </c>
      <c r="H6" s="55" t="s">
        <v>45</v>
      </c>
      <c r="I6" s="5" t="s">
        <v>46</v>
      </c>
      <c r="J6" s="5" t="s">
        <v>24</v>
      </c>
      <c r="K6" s="56">
        <v>30</v>
      </c>
      <c r="L6" s="45">
        <f>('Tarifas - CWL25'!$D$7/1.19)/30</f>
        <v>10541.148459383754</v>
      </c>
      <c r="M6" s="45">
        <f>L6*K6</f>
        <v>316234.45378151262</v>
      </c>
      <c r="N6" s="43">
        <f t="shared" si="1"/>
        <v>376319</v>
      </c>
      <c r="O6" s="3">
        <v>46112</v>
      </c>
      <c r="P6" s="23" t="s">
        <v>47</v>
      </c>
      <c r="Q6" s="1" t="s">
        <v>27</v>
      </c>
    </row>
    <row r="7" spans="1:17" ht="84">
      <c r="A7" s="4" t="s">
        <v>48</v>
      </c>
      <c r="B7" s="47">
        <v>11036</v>
      </c>
      <c r="C7" s="36">
        <v>2</v>
      </c>
      <c r="D7" s="2" t="s">
        <v>19</v>
      </c>
      <c r="E7" s="1" t="s">
        <v>49</v>
      </c>
      <c r="F7" s="1">
        <v>900816899</v>
      </c>
      <c r="G7" s="1" t="s">
        <v>50</v>
      </c>
      <c r="H7" s="55" t="s">
        <v>51</v>
      </c>
      <c r="I7" s="5" t="s">
        <v>52</v>
      </c>
      <c r="J7" s="5" t="s">
        <v>24</v>
      </c>
      <c r="K7" s="56" t="s">
        <v>25</v>
      </c>
      <c r="L7" s="45">
        <f>('Tarifas - CWL25'!$D$10/1.19)/30</f>
        <v>52705.742296918768</v>
      </c>
      <c r="M7" s="45">
        <f>L7*K7</f>
        <v>1581172.2689075631</v>
      </c>
      <c r="N7" s="43">
        <f>M7*1.19</f>
        <v>1881595</v>
      </c>
      <c r="O7" s="3">
        <v>46112</v>
      </c>
      <c r="P7" s="57" t="s">
        <v>53</v>
      </c>
      <c r="Q7" s="1" t="s">
        <v>27</v>
      </c>
    </row>
    <row r="8" spans="1:17" ht="84">
      <c r="A8" s="4" t="s">
        <v>54</v>
      </c>
      <c r="B8" s="47">
        <v>11036</v>
      </c>
      <c r="C8" s="36">
        <v>2</v>
      </c>
      <c r="D8" s="2" t="s">
        <v>19</v>
      </c>
      <c r="E8" s="1" t="s">
        <v>55</v>
      </c>
      <c r="F8" s="1">
        <v>901080910</v>
      </c>
      <c r="G8" s="1" t="s">
        <v>56</v>
      </c>
      <c r="H8" s="55" t="s">
        <v>57</v>
      </c>
      <c r="I8" s="5" t="s">
        <v>58</v>
      </c>
      <c r="J8" s="5" t="s">
        <v>24</v>
      </c>
      <c r="K8" s="56" t="s">
        <v>25</v>
      </c>
      <c r="L8" s="45">
        <f>('Tarifas - CWL25'!D8/1.19)/30</f>
        <v>18070.532212885155</v>
      </c>
      <c r="M8" s="45">
        <f t="shared" ref="M8" si="2">L8*K8</f>
        <v>542115.96638655465</v>
      </c>
      <c r="N8" s="43">
        <f t="shared" ref="N8" si="3">M8*1.19</f>
        <v>645118</v>
      </c>
      <c r="O8" s="3">
        <v>46112</v>
      </c>
      <c r="P8" s="23" t="s">
        <v>59</v>
      </c>
      <c r="Q8" s="1" t="s">
        <v>35</v>
      </c>
    </row>
    <row r="9" spans="1:17" ht="84">
      <c r="A9" s="4" t="s">
        <v>60</v>
      </c>
      <c r="B9" s="47">
        <v>11036</v>
      </c>
      <c r="C9" s="36">
        <v>2</v>
      </c>
      <c r="D9" s="2" t="s">
        <v>19</v>
      </c>
      <c r="E9" s="1" t="s">
        <v>61</v>
      </c>
      <c r="F9" s="1">
        <v>901818306</v>
      </c>
      <c r="G9" s="1" t="s">
        <v>62</v>
      </c>
      <c r="H9" s="58" t="s">
        <v>63</v>
      </c>
      <c r="I9" s="4" t="s">
        <v>64</v>
      </c>
      <c r="J9" s="5" t="s">
        <v>24</v>
      </c>
      <c r="K9" s="47" t="s">
        <v>25</v>
      </c>
      <c r="L9" s="59">
        <f>('Tarifas - CWL25'!D8/1.19)/30</f>
        <v>18070.532212885155</v>
      </c>
      <c r="M9" s="59">
        <f t="shared" si="0"/>
        <v>542115.96638655465</v>
      </c>
      <c r="N9" s="43">
        <f>M9*1.19</f>
        <v>645118</v>
      </c>
      <c r="O9" s="3">
        <v>46112</v>
      </c>
      <c r="P9" s="23" t="s">
        <v>65</v>
      </c>
      <c r="Q9" s="1" t="s">
        <v>27</v>
      </c>
    </row>
    <row r="10" spans="1:17" ht="84">
      <c r="A10" s="4" t="s">
        <v>66</v>
      </c>
      <c r="B10" s="47">
        <v>11036</v>
      </c>
      <c r="C10" s="36">
        <v>2</v>
      </c>
      <c r="D10" s="2" t="s">
        <v>19</v>
      </c>
      <c r="E10" s="1" t="s">
        <v>67</v>
      </c>
      <c r="F10" s="1">
        <v>901890871</v>
      </c>
      <c r="G10" s="1" t="s">
        <v>68</v>
      </c>
      <c r="H10" s="58" t="s">
        <v>69</v>
      </c>
      <c r="I10" s="4" t="s">
        <v>70</v>
      </c>
      <c r="J10" s="5" t="s">
        <v>24</v>
      </c>
      <c r="K10" s="47">
        <v>30</v>
      </c>
      <c r="L10" s="59">
        <f>('Tarifas - CWL25'!D7/1.19)/30</f>
        <v>10541.148459383754</v>
      </c>
      <c r="M10" s="59">
        <f>L10*K10</f>
        <v>316234.45378151262</v>
      </c>
      <c r="N10" s="43">
        <f>M10*1.19</f>
        <v>376319</v>
      </c>
      <c r="O10" s="3">
        <v>46112</v>
      </c>
      <c r="P10" s="23" t="s">
        <v>71</v>
      </c>
      <c r="Q10" s="1" t="s">
        <v>27</v>
      </c>
    </row>
    <row r="11" spans="1:17" ht="84">
      <c r="A11" s="4" t="s">
        <v>72</v>
      </c>
      <c r="B11" s="47">
        <v>11036</v>
      </c>
      <c r="C11" s="36">
        <v>2</v>
      </c>
      <c r="D11" s="2" t="s">
        <v>19</v>
      </c>
      <c r="E11" s="1" t="s">
        <v>73</v>
      </c>
      <c r="F11" s="1">
        <v>900759077</v>
      </c>
      <c r="G11" s="1" t="s">
        <v>74</v>
      </c>
      <c r="H11" s="55" t="s">
        <v>75</v>
      </c>
      <c r="I11" s="5" t="s">
        <v>76</v>
      </c>
      <c r="J11" s="5" t="s">
        <v>24</v>
      </c>
      <c r="K11" s="56" t="s">
        <v>25</v>
      </c>
      <c r="L11" s="59">
        <f>M11/30</f>
        <v>9604.1549953314661</v>
      </c>
      <c r="M11" s="45">
        <f>(('Tarifas - CWL25'!$C$7/1.19)/30)*8 + (('Tarifas - CWL25'!D7/1.19)/30)*22</f>
        <v>288124.64985994401</v>
      </c>
      <c r="N11" s="43">
        <f>M11*1.19</f>
        <v>342868.33333333337</v>
      </c>
      <c r="O11" s="3">
        <v>46112</v>
      </c>
      <c r="P11" s="23" t="s">
        <v>77</v>
      </c>
      <c r="Q11" s="1" t="s">
        <v>35</v>
      </c>
    </row>
    <row r="12" spans="1:17" ht="84">
      <c r="A12" s="4" t="s">
        <v>78</v>
      </c>
      <c r="B12" s="47">
        <v>11036</v>
      </c>
      <c r="C12" s="36">
        <v>2</v>
      </c>
      <c r="D12" s="2" t="s">
        <v>19</v>
      </c>
      <c r="E12" s="1" t="s">
        <v>79</v>
      </c>
      <c r="F12" s="1">
        <v>901988137</v>
      </c>
      <c r="G12" s="1" t="s">
        <v>80</v>
      </c>
      <c r="H12" s="55" t="s">
        <v>81</v>
      </c>
      <c r="I12" s="5" t="s">
        <v>82</v>
      </c>
      <c r="J12" s="5" t="s">
        <v>24</v>
      </c>
      <c r="K12" s="56">
        <v>30</v>
      </c>
      <c r="L12" s="59">
        <f>('Tarifas - CWL25'!$C$7/1.19)/30</f>
        <v>7027.4229691876762</v>
      </c>
      <c r="M12" s="45">
        <f t="shared" ref="M12" si="4">L12*K12</f>
        <v>210822.68907563027</v>
      </c>
      <c r="N12" s="43">
        <f t="shared" ref="N12" si="5">M12*1.19</f>
        <v>250879.00000000003</v>
      </c>
      <c r="O12" s="3">
        <v>46112</v>
      </c>
      <c r="P12" s="23" t="s">
        <v>83</v>
      </c>
      <c r="Q12" s="1" t="s">
        <v>27</v>
      </c>
    </row>
    <row r="13" spans="1:17" ht="84">
      <c r="A13" s="4" t="s">
        <v>84</v>
      </c>
      <c r="B13" s="47">
        <v>11036</v>
      </c>
      <c r="C13" s="36">
        <v>2</v>
      </c>
      <c r="D13" s="2" t="s">
        <v>19</v>
      </c>
      <c r="E13" s="1" t="s">
        <v>85</v>
      </c>
      <c r="F13" s="1">
        <v>900748137</v>
      </c>
      <c r="G13" s="1" t="s">
        <v>86</v>
      </c>
      <c r="H13" s="55" t="s">
        <v>87</v>
      </c>
      <c r="I13" s="5" t="s">
        <v>88</v>
      </c>
      <c r="J13" s="5" t="s">
        <v>24</v>
      </c>
      <c r="K13" s="56">
        <v>30</v>
      </c>
      <c r="L13" s="59">
        <f>('Tarifas - CWL25'!$C$7/1.19)/30</f>
        <v>7027.4229691876762</v>
      </c>
      <c r="M13" s="45">
        <f t="shared" ref="M13" si="6">L13*K13</f>
        <v>210822.68907563027</v>
      </c>
      <c r="N13" s="43">
        <f t="shared" ref="N13" si="7">M13*1.19</f>
        <v>250879.00000000003</v>
      </c>
      <c r="O13" s="3">
        <v>46112</v>
      </c>
      <c r="P13" s="23" t="s">
        <v>89</v>
      </c>
      <c r="Q13" s="1" t="s">
        <v>27</v>
      </c>
    </row>
  </sheetData>
  <mergeCells count="1">
    <mergeCell ref="A1:Q1"/>
  </mergeCells>
  <hyperlinks>
    <hyperlink ref="H11" r:id="rId1" xr:uid="{00000000-0004-0000-0000-000000000000}"/>
    <hyperlink ref="H3" r:id="rId2" xr:uid="{00000000-0004-0000-0000-000001000000}"/>
    <hyperlink ref="H5" r:id="rId3" xr:uid="{00000000-0004-0000-0000-000002000000}"/>
    <hyperlink ref="H6" r:id="rId4" xr:uid="{00000000-0004-0000-0000-000003000000}"/>
    <hyperlink ref="H7" r:id="rId5" xr:uid="{00000000-0004-0000-0000-000004000000}"/>
    <hyperlink ref="H9" r:id="rId6" xr:uid="{00000000-0004-0000-0000-000005000000}"/>
    <hyperlink ref="H4" r:id="rId7" xr:uid="{00000000-0004-0000-0000-000006000000}"/>
    <hyperlink ref="H10" r:id="rId8" xr:uid="{00000000-0004-0000-0000-000007000000}"/>
    <hyperlink ref="H12" r:id="rId9" xr:uid="{00000000-0004-0000-0000-000008000000}"/>
    <hyperlink ref="H8" r:id="rId10" xr:uid="{00000000-0004-0000-0000-000009000000}"/>
    <hyperlink ref="H13" r:id="rId11" xr:uid="{00000000-0004-0000-0000-00000A000000}"/>
  </hyperlinks>
  <pageMargins left="0.7" right="0.7" top="0.75" bottom="0.75" header="0.3" footer="0.3"/>
  <pageSetup orientation="portrait" r:id="rId12"/>
  <drawing r:id="rId13"/>
  <legacy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E15"/>
  <sheetViews>
    <sheetView workbookViewId="0">
      <selection activeCell="E8" sqref="E8"/>
    </sheetView>
  </sheetViews>
  <sheetFormatPr defaultColWidth="11.42578125" defaultRowHeight="14.45"/>
  <cols>
    <col min="2" max="2" width="28.85546875" customWidth="1"/>
    <col min="3" max="4" width="23.140625" customWidth="1"/>
    <col min="5" max="5" width="18.7109375" customWidth="1"/>
  </cols>
  <sheetData>
    <row r="4" spans="2:5" ht="23.45">
      <c r="B4" s="37" t="s">
        <v>90</v>
      </c>
    </row>
    <row r="5" spans="2:5" ht="15.6">
      <c r="B5" s="69" t="s">
        <v>91</v>
      </c>
      <c r="C5" s="69"/>
      <c r="D5" s="69"/>
      <c r="E5" s="69"/>
    </row>
    <row r="6" spans="2:5" ht="29.1">
      <c r="B6" s="60" t="s">
        <v>92</v>
      </c>
      <c r="C6" s="61" t="s">
        <v>93</v>
      </c>
      <c r="D6" s="62" t="s">
        <v>94</v>
      </c>
      <c r="E6" s="60" t="s">
        <v>95</v>
      </c>
    </row>
    <row r="7" spans="2:5" ht="18.600000000000001">
      <c r="B7" s="63" t="s">
        <v>96</v>
      </c>
      <c r="C7" s="64">
        <v>250879</v>
      </c>
      <c r="D7" s="64">
        <v>376319</v>
      </c>
      <c r="E7" s="65">
        <v>501759</v>
      </c>
    </row>
    <row r="8" spans="2:5" ht="18.600000000000001">
      <c r="B8" s="66" t="s">
        <v>97</v>
      </c>
      <c r="C8" s="64">
        <v>430079</v>
      </c>
      <c r="D8" s="64">
        <v>645118</v>
      </c>
      <c r="E8" s="67">
        <v>860158</v>
      </c>
    </row>
    <row r="9" spans="2:5" ht="18.600000000000001">
      <c r="B9" s="63" t="s">
        <v>98</v>
      </c>
      <c r="C9" s="64">
        <v>1003517</v>
      </c>
      <c r="D9" s="64">
        <v>1505276</v>
      </c>
      <c r="E9" s="65">
        <v>2007035</v>
      </c>
    </row>
    <row r="10" spans="2:5" ht="18.600000000000001">
      <c r="B10" s="66" t="s">
        <v>99</v>
      </c>
      <c r="C10" s="64">
        <v>1254397</v>
      </c>
      <c r="D10" s="64">
        <v>1881595</v>
      </c>
      <c r="E10" s="67">
        <v>2508794</v>
      </c>
    </row>
    <row r="11" spans="2:5">
      <c r="B11" s="70" t="s">
        <v>100</v>
      </c>
      <c r="C11" s="75"/>
      <c r="D11" s="38">
        <v>9.2799999999999994E-2</v>
      </c>
      <c r="E11" s="38">
        <v>5.1999999999999998E-2</v>
      </c>
    </row>
    <row r="12" spans="2:5">
      <c r="B12" s="39"/>
      <c r="C12" s="39"/>
      <c r="D12" s="39"/>
      <c r="E12" s="39"/>
    </row>
    <row r="13" spans="2:5" ht="42.95" customHeight="1">
      <c r="B13" s="40" t="s">
        <v>101</v>
      </c>
      <c r="C13" s="71" t="s">
        <v>102</v>
      </c>
      <c r="D13" s="71"/>
      <c r="E13" s="71"/>
    </row>
    <row r="14" spans="2:5" ht="42.95" customHeight="1">
      <c r="B14" s="41" t="s">
        <v>103</v>
      </c>
      <c r="C14" s="72" t="s">
        <v>104</v>
      </c>
      <c r="D14" s="72"/>
      <c r="E14" s="72"/>
    </row>
    <row r="15" spans="2:5" ht="25.5" customHeight="1">
      <c r="B15" s="42" t="s">
        <v>105</v>
      </c>
      <c r="C15" s="72" t="s">
        <v>106</v>
      </c>
      <c r="D15" s="72"/>
      <c r="E15" s="72"/>
    </row>
  </sheetData>
  <mergeCells count="5">
    <mergeCell ref="B5:E5"/>
    <mergeCell ref="B11:C11"/>
    <mergeCell ref="C13:E13"/>
    <mergeCell ref="C14:E14"/>
    <mergeCell ref="C15:E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"/>
  <sheetViews>
    <sheetView showGridLines="0" zoomScaleNormal="100" workbookViewId="0">
      <selection activeCell="G2" sqref="G1:G1048576"/>
    </sheetView>
  </sheetViews>
  <sheetFormatPr defaultColWidth="11.42578125" defaultRowHeight="14.45"/>
  <cols>
    <col min="2" max="2" width="43.85546875" customWidth="1"/>
    <col min="4" max="4" width="19.85546875" customWidth="1"/>
    <col min="5" max="5" width="17.28515625" customWidth="1"/>
    <col min="6" max="6" width="24.42578125" customWidth="1"/>
  </cols>
  <sheetData>
    <row r="1" spans="1:6" ht="17.100000000000001">
      <c r="A1" s="73" t="s">
        <v>107</v>
      </c>
      <c r="B1" s="74"/>
      <c r="C1" s="74"/>
      <c r="D1" s="74"/>
      <c r="E1" s="74"/>
      <c r="F1" s="74"/>
    </row>
    <row r="2" spans="1:6">
      <c r="A2" s="9" t="s">
        <v>1</v>
      </c>
      <c r="B2" s="10" t="s">
        <v>108</v>
      </c>
      <c r="C2" s="10" t="s">
        <v>109</v>
      </c>
      <c r="D2" s="6" t="s">
        <v>110</v>
      </c>
      <c r="E2" s="11" t="s">
        <v>111</v>
      </c>
      <c r="F2" s="11" t="s">
        <v>112</v>
      </c>
    </row>
    <row r="3" spans="1:6">
      <c r="A3" s="12">
        <v>1</v>
      </c>
      <c r="B3" s="13" t="s">
        <v>20</v>
      </c>
      <c r="C3" s="13">
        <v>901703496</v>
      </c>
      <c r="D3" s="24" t="s">
        <v>21</v>
      </c>
      <c r="E3" s="14" t="s">
        <v>113</v>
      </c>
      <c r="F3" s="29">
        <v>45717</v>
      </c>
    </row>
    <row r="4" spans="1:6">
      <c r="A4" s="12">
        <v>2</v>
      </c>
      <c r="B4" s="15" t="s">
        <v>29</v>
      </c>
      <c r="C4" s="15">
        <v>901581424</v>
      </c>
      <c r="D4" s="24" t="s">
        <v>31</v>
      </c>
      <c r="E4" s="14" t="s">
        <v>114</v>
      </c>
      <c r="F4" s="29">
        <v>45717</v>
      </c>
    </row>
    <row r="5" spans="1:6">
      <c r="A5" s="12">
        <v>3</v>
      </c>
      <c r="B5" s="13" t="s">
        <v>37</v>
      </c>
      <c r="C5" s="15">
        <v>901097244</v>
      </c>
      <c r="D5" s="24" t="s">
        <v>38</v>
      </c>
      <c r="E5" s="14" t="s">
        <v>115</v>
      </c>
      <c r="F5" s="29">
        <v>45717</v>
      </c>
    </row>
    <row r="6" spans="1:6">
      <c r="A6" s="12">
        <v>4</v>
      </c>
      <c r="B6" s="13" t="s">
        <v>116</v>
      </c>
      <c r="C6" s="15">
        <v>901790563</v>
      </c>
      <c r="D6" s="24" t="s">
        <v>117</v>
      </c>
      <c r="E6" s="14" t="s">
        <v>25</v>
      </c>
      <c r="F6" s="29">
        <v>45717</v>
      </c>
    </row>
    <row r="7" spans="1:6" hidden="1">
      <c r="A7" s="12">
        <v>5</v>
      </c>
      <c r="B7" s="13" t="s">
        <v>118</v>
      </c>
      <c r="C7" s="15">
        <v>1232888275</v>
      </c>
      <c r="D7" s="26" t="s">
        <v>119</v>
      </c>
      <c r="E7" s="27" t="s">
        <v>120</v>
      </c>
      <c r="F7" s="30" t="s">
        <v>121</v>
      </c>
    </row>
    <row r="8" spans="1:6">
      <c r="A8" s="12">
        <v>6</v>
      </c>
      <c r="B8" s="13" t="s">
        <v>122</v>
      </c>
      <c r="C8" s="15">
        <v>901217227</v>
      </c>
      <c r="D8" s="25" t="s">
        <v>123</v>
      </c>
      <c r="E8" s="14" t="s">
        <v>124</v>
      </c>
      <c r="F8" s="29">
        <v>45717</v>
      </c>
    </row>
    <row r="9" spans="1:6" hidden="1">
      <c r="A9" s="12">
        <v>7</v>
      </c>
      <c r="B9" s="13" t="s">
        <v>125</v>
      </c>
      <c r="C9" s="15">
        <v>901653010</v>
      </c>
      <c r="D9" s="25" t="s">
        <v>126</v>
      </c>
      <c r="E9" s="14" t="s">
        <v>127</v>
      </c>
      <c r="F9" s="29">
        <v>45717</v>
      </c>
    </row>
    <row r="10" spans="1:6" hidden="1">
      <c r="A10" s="12">
        <v>8</v>
      </c>
      <c r="B10" s="13" t="s">
        <v>128</v>
      </c>
      <c r="C10" s="15">
        <v>901720689</v>
      </c>
      <c r="D10" s="26" t="s">
        <v>129</v>
      </c>
      <c r="E10" s="27" t="s">
        <v>130</v>
      </c>
      <c r="F10" s="30" t="s">
        <v>121</v>
      </c>
    </row>
    <row r="11" spans="1:6" hidden="1">
      <c r="A11" s="12">
        <v>9</v>
      </c>
      <c r="B11" s="13" t="s">
        <v>131</v>
      </c>
      <c r="C11" s="15">
        <v>901305905</v>
      </c>
      <c r="D11" s="26" t="s">
        <v>132</v>
      </c>
      <c r="E11" s="27" t="s">
        <v>133</v>
      </c>
      <c r="F11" s="30" t="s">
        <v>121</v>
      </c>
    </row>
    <row r="12" spans="1:6" hidden="1">
      <c r="A12" s="12">
        <v>10</v>
      </c>
      <c r="B12" s="15" t="s">
        <v>43</v>
      </c>
      <c r="C12" s="16">
        <v>901815791</v>
      </c>
      <c r="D12" s="26" t="s">
        <v>132</v>
      </c>
      <c r="E12" s="28" t="s">
        <v>134</v>
      </c>
      <c r="F12" s="30" t="s">
        <v>121</v>
      </c>
    </row>
    <row r="13" spans="1:6">
      <c r="A13" s="12">
        <v>11</v>
      </c>
      <c r="B13" s="17" t="s">
        <v>135</v>
      </c>
      <c r="C13" s="18">
        <v>901532644</v>
      </c>
      <c r="D13" s="25" t="s">
        <v>136</v>
      </c>
      <c r="E13" s="20" t="s">
        <v>137</v>
      </c>
      <c r="F13" s="29">
        <v>45748</v>
      </c>
    </row>
    <row r="14" spans="1:6" hidden="1">
      <c r="A14" s="12">
        <v>12</v>
      </c>
      <c r="B14" s="17" t="s">
        <v>138</v>
      </c>
      <c r="C14" s="18">
        <v>900356176</v>
      </c>
      <c r="D14" s="26" t="s">
        <v>139</v>
      </c>
      <c r="E14" s="27" t="s">
        <v>140</v>
      </c>
      <c r="F14" s="30" t="s">
        <v>121</v>
      </c>
    </row>
    <row r="15" spans="1:6">
      <c r="A15" s="12">
        <v>13</v>
      </c>
      <c r="B15" s="7" t="s">
        <v>141</v>
      </c>
      <c r="C15" s="19">
        <v>900816899</v>
      </c>
      <c r="D15" s="25" t="s">
        <v>50</v>
      </c>
      <c r="E15" s="20" t="s">
        <v>142</v>
      </c>
      <c r="F15" s="29">
        <v>45748</v>
      </c>
    </row>
    <row r="16" spans="1:6">
      <c r="A16" s="12">
        <v>14</v>
      </c>
      <c r="B16" s="8" t="s">
        <v>55</v>
      </c>
      <c r="C16" s="8">
        <v>901080910</v>
      </c>
      <c r="D16" s="25" t="s">
        <v>56</v>
      </c>
      <c r="E16" s="22" t="s">
        <v>143</v>
      </c>
      <c r="F16" s="29">
        <v>45717</v>
      </c>
    </row>
    <row r="17" spans="1:6">
      <c r="A17" s="12">
        <v>15</v>
      </c>
      <c r="B17" s="8" t="s">
        <v>61</v>
      </c>
      <c r="C17" s="8">
        <v>901818306</v>
      </c>
      <c r="D17" s="25" t="s">
        <v>62</v>
      </c>
      <c r="E17" s="22" t="s">
        <v>144</v>
      </c>
      <c r="F17" s="29">
        <v>45717</v>
      </c>
    </row>
    <row r="18" spans="1:6">
      <c r="A18" s="12">
        <v>16</v>
      </c>
      <c r="B18" s="8" t="s">
        <v>67</v>
      </c>
      <c r="C18" s="8">
        <v>901890871</v>
      </c>
      <c r="D18" s="25" t="s">
        <v>68</v>
      </c>
      <c r="E18" s="22" t="s">
        <v>145</v>
      </c>
      <c r="F18" s="29">
        <v>45748</v>
      </c>
    </row>
    <row r="19" spans="1:6">
      <c r="A19" s="12">
        <v>17</v>
      </c>
      <c r="B19" s="8" t="s">
        <v>73</v>
      </c>
      <c r="C19" s="8">
        <v>900759077</v>
      </c>
      <c r="D19" s="25" t="s">
        <v>74</v>
      </c>
      <c r="E19" s="22" t="s">
        <v>146</v>
      </c>
      <c r="F19" s="29">
        <v>45756</v>
      </c>
    </row>
    <row r="20" spans="1:6">
      <c r="A20" s="12">
        <v>18</v>
      </c>
      <c r="B20" s="8"/>
      <c r="C20" s="8"/>
      <c r="D20" s="8"/>
      <c r="E20" s="21"/>
      <c r="F20" s="31"/>
    </row>
    <row r="21" spans="1:6">
      <c r="A21" s="12">
        <v>19</v>
      </c>
      <c r="B21" s="8"/>
      <c r="C21" s="8"/>
      <c r="D21" s="8"/>
      <c r="E21" s="21"/>
      <c r="F21" s="31"/>
    </row>
    <row r="22" spans="1:6">
      <c r="A22" s="12">
        <v>20</v>
      </c>
      <c r="B22" s="8"/>
      <c r="C22" s="8"/>
      <c r="D22" s="8"/>
      <c r="E22" s="21"/>
      <c r="F22" s="31"/>
    </row>
    <row r="23" spans="1:6">
      <c r="A23" s="12">
        <v>21</v>
      </c>
      <c r="B23" s="8"/>
      <c r="C23" s="8"/>
      <c r="D23" s="8"/>
      <c r="E23" s="21"/>
      <c r="F23" s="31"/>
    </row>
    <row r="24" spans="1:6">
      <c r="A24" s="12">
        <v>22</v>
      </c>
      <c r="B24" s="8"/>
      <c r="C24" s="8"/>
      <c r="D24" s="8"/>
      <c r="E24" s="21"/>
      <c r="F24" s="31"/>
    </row>
    <row r="25" spans="1:6">
      <c r="A25" s="12">
        <v>23</v>
      </c>
      <c r="B25" s="8"/>
      <c r="C25" s="8"/>
      <c r="D25" s="8"/>
      <c r="E25" s="21"/>
      <c r="F25" s="31"/>
    </row>
    <row r="26" spans="1:6">
      <c r="A26" s="12">
        <v>24</v>
      </c>
      <c r="B26" s="8"/>
      <c r="C26" s="8"/>
      <c r="D26" s="8"/>
      <c r="E26" s="21"/>
      <c r="F26" s="31"/>
    </row>
    <row r="27" spans="1:6">
      <c r="A27" s="32">
        <v>25</v>
      </c>
      <c r="B27" s="33"/>
      <c r="C27" s="33"/>
      <c r="D27" s="33"/>
      <c r="E27" s="34"/>
      <c r="F27" s="35"/>
    </row>
  </sheetData>
  <mergeCells count="1">
    <mergeCell ref="A1:F1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Sebastian Quiroz Corzo</dc:creator>
  <cp:keywords/>
  <dc:description/>
  <cp:lastModifiedBy/>
  <cp:revision/>
  <dcterms:created xsi:type="dcterms:W3CDTF">2022-04-29T16:02:23Z</dcterms:created>
  <dcterms:modified xsi:type="dcterms:W3CDTF">2026-04-25T23:47:24Z</dcterms:modified>
  <cp:category/>
  <cp:contentStatus/>
</cp:coreProperties>
</file>